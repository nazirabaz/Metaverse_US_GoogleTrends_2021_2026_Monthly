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380"/>
  </bookViews>
  <sheets>
    <sheet name="time_series_US_20210101-0000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<sst xmlns="http://schemas.openxmlformats.org/spreadsheetml/2006/main" count="18" uniqueCount="18">
  <si>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</si>
  <si>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metaverse benefits</t>
  </si>
  <si>
    <t>metaverse work</t>
  </si>
  <si>
    <t>metaverse uses</t>
  </si>
  <si>
    <t>PE</t>
  </si>
  <si>
    <t>metaverse social</t>
  </si>
  <si>
    <t>metaverse friends</t>
  </si>
  <si>
    <t>metaverse party</t>
  </si>
  <si>
    <t>metaverse concert</t>
  </si>
  <si>
    <t>SI</t>
  </si>
  <si>
    <t>Apple Vision Pro</t>
  </si>
  <si>
    <t>FC</t>
  </si>
  <si>
    <t>metaverse scam</t>
  </si>
  <si>
    <t>CD</t>
  </si>
  <si>
    <t>metaverse</t>
  </si>
  <si>
    <t>Virtual reality</t>
  </si>
  <si>
    <t>MV</t>
  </si>
  <si>
    <t>Note. PE, SI,  and MV is Average for ANN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</si>
</sst>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"/>
  <sheetViews>
    <sheetView tabSelected="1" zoomScaleSheetLayoutView="60" workbookViewId="0">
      <selection activeCell="A1" sqref="A$1:A$1048576"/>
    </sheetView>
  </sheetViews>
  <sheetFormatPr defaultColWidth="8.4375" defaultRowHeight="16.8"/>
  <cols>
    <col min="1" max="1" width="9.625"/>
    <col min="5" max="5" width="12.6875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</row>
    <row r="2" spans="1:17">
      <c r="A2" s="2">
        <v>44197</v>
      </c>
      <c r="B2">
        <v>0</v>
      </c>
      <c r="C2">
        <v>0</v>
      </c>
      <c r="D2">
        <v>0</v>
      </c>
      <c r="E2">
        <f>AVERAGE(B2,C2,D2)</f>
        <v>0</v>
      </c>
      <c r="F2">
        <v>0</v>
      </c>
      <c r="G2">
        <v>0</v>
      </c>
      <c r="H2">
        <v>0</v>
      </c>
      <c r="I2">
        <v>0</v>
      </c>
      <c r="J2">
        <f>AVERAGE(F2,G2,H2,I2)</f>
        <v>0</v>
      </c>
      <c r="K2">
        <v>0</v>
      </c>
      <c r="L2">
        <v>0</v>
      </c>
      <c r="M2">
        <v>0</v>
      </c>
      <c r="N2">
        <v>0</v>
      </c>
      <c r="O2" s="1">
        <v>0</v>
      </c>
      <c r="P2" s="1">
        <v>69</v>
      </c>
      <c r="Q2">
        <f>AVERAGE(O2,P2)</f>
        <v>34.5</v>
      </c>
    </row>
    <row r="3" spans="1:17">
      <c r="A3" s="2">
        <v>44228</v>
      </c>
      <c r="B3">
        <v>0</v>
      </c>
      <c r="C3">
        <v>0</v>
      </c>
      <c r="D3">
        <v>0</v>
      </c>
      <c r="E3">
        <f>AVERAGE(B3,C3,D3)</f>
        <v>0</v>
      </c>
      <c r="F3">
        <v>0</v>
      </c>
      <c r="G3">
        <v>0</v>
      </c>
      <c r="H3">
        <v>0</v>
      </c>
      <c r="I3">
        <v>0</v>
      </c>
      <c r="J3">
        <f t="shared" ref="J3:J34" si="0">AVERAGE(F3,G3,H3,I3)</f>
        <v>0</v>
      </c>
      <c r="K3">
        <v>0</v>
      </c>
      <c r="L3">
        <v>0</v>
      </c>
      <c r="M3">
        <v>0</v>
      </c>
      <c r="N3">
        <v>0</v>
      </c>
      <c r="O3" s="1">
        <v>0</v>
      </c>
      <c r="P3" s="1">
        <v>59</v>
      </c>
      <c r="Q3">
        <f t="shared" ref="Q3:Q13" si="1">AVERAGE(O3,P3)</f>
        <v>29.5</v>
      </c>
    </row>
    <row r="4" spans="1:17">
      <c r="A4" s="2">
        <v>44256</v>
      </c>
      <c r="B4">
        <v>0</v>
      </c>
      <c r="C4">
        <v>0</v>
      </c>
      <c r="D4">
        <v>0</v>
      </c>
      <c r="E4">
        <f>AVERAGE(B4,C4,D4)</f>
        <v>0</v>
      </c>
      <c r="F4">
        <v>0</v>
      </c>
      <c r="G4">
        <v>0</v>
      </c>
      <c r="H4">
        <v>0</v>
      </c>
      <c r="I4">
        <v>0</v>
      </c>
      <c r="J4">
        <f t="shared" si="0"/>
        <v>0</v>
      </c>
      <c r="K4">
        <v>0</v>
      </c>
      <c r="L4">
        <v>0</v>
      </c>
      <c r="M4">
        <v>0</v>
      </c>
      <c r="N4">
        <v>0</v>
      </c>
      <c r="O4" s="1">
        <v>0</v>
      </c>
      <c r="P4" s="1">
        <v>56</v>
      </c>
      <c r="Q4">
        <f t="shared" si="1"/>
        <v>28</v>
      </c>
    </row>
    <row r="5" spans="1:17">
      <c r="A5" s="2">
        <v>44287</v>
      </c>
      <c r="B5">
        <v>0</v>
      </c>
      <c r="C5">
        <v>0</v>
      </c>
      <c r="D5">
        <v>0</v>
      </c>
      <c r="E5">
        <f t="shared" ref="E5:E14" si="2">AVERAGE(B5,C5,D5)</f>
        <v>0</v>
      </c>
      <c r="F5">
        <v>0</v>
      </c>
      <c r="G5">
        <v>0</v>
      </c>
      <c r="H5">
        <v>0</v>
      </c>
      <c r="I5">
        <v>0</v>
      </c>
      <c r="J5">
        <f t="shared" si="0"/>
        <v>0</v>
      </c>
      <c r="K5">
        <v>0</v>
      </c>
      <c r="L5">
        <v>0</v>
      </c>
      <c r="M5">
        <v>0</v>
      </c>
      <c r="N5">
        <v>0</v>
      </c>
      <c r="O5" s="1">
        <v>3</v>
      </c>
      <c r="P5" s="1">
        <v>58</v>
      </c>
      <c r="Q5">
        <f t="shared" si="1"/>
        <v>30.5</v>
      </c>
    </row>
    <row r="6" spans="1:17">
      <c r="A6" s="2">
        <v>44317</v>
      </c>
      <c r="B6">
        <v>0</v>
      </c>
      <c r="C6">
        <v>0</v>
      </c>
      <c r="D6">
        <v>0</v>
      </c>
      <c r="E6">
        <f t="shared" si="2"/>
        <v>0</v>
      </c>
      <c r="F6">
        <v>0</v>
      </c>
      <c r="G6">
        <v>0</v>
      </c>
      <c r="H6">
        <v>0</v>
      </c>
      <c r="I6">
        <v>0</v>
      </c>
      <c r="J6">
        <f t="shared" si="0"/>
        <v>0</v>
      </c>
      <c r="K6">
        <v>0</v>
      </c>
      <c r="L6">
        <v>0</v>
      </c>
      <c r="M6">
        <v>0</v>
      </c>
      <c r="N6">
        <v>0</v>
      </c>
      <c r="O6" s="1">
        <v>2</v>
      </c>
      <c r="P6" s="1">
        <v>52</v>
      </c>
      <c r="Q6">
        <f t="shared" si="1"/>
        <v>27</v>
      </c>
    </row>
    <row r="7" spans="1:17">
      <c r="A7" s="2">
        <v>44348</v>
      </c>
      <c r="B7">
        <v>0</v>
      </c>
      <c r="C7">
        <v>0</v>
      </c>
      <c r="D7">
        <v>0</v>
      </c>
      <c r="E7">
        <f t="shared" si="2"/>
        <v>0</v>
      </c>
      <c r="F7">
        <v>0</v>
      </c>
      <c r="G7">
        <v>0</v>
      </c>
      <c r="H7">
        <v>0</v>
      </c>
      <c r="I7">
        <v>0</v>
      </c>
      <c r="J7">
        <f t="shared" si="0"/>
        <v>0</v>
      </c>
      <c r="K7">
        <v>0</v>
      </c>
      <c r="L7">
        <v>0</v>
      </c>
      <c r="M7">
        <v>0</v>
      </c>
      <c r="N7">
        <v>0</v>
      </c>
      <c r="O7" s="1">
        <v>0</v>
      </c>
      <c r="P7" s="1">
        <v>53</v>
      </c>
      <c r="Q7">
        <f t="shared" si="1"/>
        <v>26.5</v>
      </c>
    </row>
    <row r="8" spans="1:17">
      <c r="A8" s="2">
        <v>44378</v>
      </c>
      <c r="B8">
        <v>0</v>
      </c>
      <c r="C8">
        <v>0</v>
      </c>
      <c r="D8">
        <v>0</v>
      </c>
      <c r="E8">
        <f t="shared" si="2"/>
        <v>0</v>
      </c>
      <c r="F8">
        <v>0</v>
      </c>
      <c r="G8">
        <v>0</v>
      </c>
      <c r="H8">
        <v>0</v>
      </c>
      <c r="I8">
        <v>0</v>
      </c>
      <c r="J8">
        <f t="shared" si="0"/>
        <v>0</v>
      </c>
      <c r="K8">
        <v>0</v>
      </c>
      <c r="L8">
        <v>0</v>
      </c>
      <c r="M8">
        <v>0</v>
      </c>
      <c r="N8">
        <v>0</v>
      </c>
      <c r="O8" s="1">
        <v>1</v>
      </c>
      <c r="P8" s="1">
        <v>51</v>
      </c>
      <c r="Q8">
        <f t="shared" si="1"/>
        <v>26</v>
      </c>
    </row>
    <row r="9" spans="1:17">
      <c r="A9" s="2">
        <v>44409</v>
      </c>
      <c r="B9">
        <v>0</v>
      </c>
      <c r="C9">
        <v>0</v>
      </c>
      <c r="D9">
        <v>0</v>
      </c>
      <c r="E9">
        <f t="shared" si="2"/>
        <v>0</v>
      </c>
      <c r="F9">
        <v>0</v>
      </c>
      <c r="G9">
        <v>0</v>
      </c>
      <c r="H9">
        <v>0</v>
      </c>
      <c r="I9">
        <v>0</v>
      </c>
      <c r="J9">
        <f t="shared" si="0"/>
        <v>0</v>
      </c>
      <c r="K9">
        <v>0</v>
      </c>
      <c r="L9">
        <v>0</v>
      </c>
      <c r="M9">
        <v>0</v>
      </c>
      <c r="N9">
        <v>0</v>
      </c>
      <c r="O9" s="1">
        <v>2</v>
      </c>
      <c r="P9" s="1">
        <v>48</v>
      </c>
      <c r="Q9">
        <f t="shared" si="1"/>
        <v>25</v>
      </c>
    </row>
    <row r="10" spans="1:17">
      <c r="A10" s="2">
        <v>44440</v>
      </c>
      <c r="B10">
        <v>0</v>
      </c>
      <c r="C10">
        <v>0</v>
      </c>
      <c r="D10">
        <v>0</v>
      </c>
      <c r="E10">
        <f t="shared" si="2"/>
        <v>0</v>
      </c>
      <c r="F10">
        <v>0</v>
      </c>
      <c r="G10">
        <v>0</v>
      </c>
      <c r="H10">
        <v>0</v>
      </c>
      <c r="I10">
        <v>0</v>
      </c>
      <c r="J10">
        <f t="shared" si="0"/>
        <v>0</v>
      </c>
      <c r="K10">
        <v>0</v>
      </c>
      <c r="L10">
        <v>0</v>
      </c>
      <c r="M10">
        <v>0</v>
      </c>
      <c r="N10">
        <v>0</v>
      </c>
      <c r="O10" s="1">
        <v>1</v>
      </c>
      <c r="P10" s="1">
        <v>46</v>
      </c>
      <c r="Q10">
        <f t="shared" si="1"/>
        <v>23.5</v>
      </c>
    </row>
    <row r="11" spans="1:17">
      <c r="A11" s="2">
        <v>44470</v>
      </c>
      <c r="B11">
        <v>0</v>
      </c>
      <c r="C11">
        <v>31</v>
      </c>
      <c r="D11">
        <v>0</v>
      </c>
      <c r="E11">
        <f t="shared" si="2"/>
        <v>10.3333333333333</v>
      </c>
      <c r="F11">
        <v>20</v>
      </c>
      <c r="G11">
        <v>0</v>
      </c>
      <c r="H11">
        <v>8</v>
      </c>
      <c r="I11">
        <v>0</v>
      </c>
      <c r="J11">
        <f t="shared" si="0"/>
        <v>7</v>
      </c>
      <c r="K11">
        <v>0</v>
      </c>
      <c r="L11">
        <v>0</v>
      </c>
      <c r="M11">
        <v>0</v>
      </c>
      <c r="N11">
        <v>0</v>
      </c>
      <c r="O11" s="1">
        <v>16</v>
      </c>
      <c r="P11" s="1">
        <v>50</v>
      </c>
      <c r="Q11">
        <f t="shared" si="1"/>
        <v>33</v>
      </c>
    </row>
    <row r="12" spans="1:17">
      <c r="A12" s="2">
        <v>44501</v>
      </c>
      <c r="B12">
        <v>11</v>
      </c>
      <c r="C12">
        <v>68</v>
      </c>
      <c r="D12">
        <v>9</v>
      </c>
      <c r="E12">
        <f t="shared" si="2"/>
        <v>29.3333333333333</v>
      </c>
      <c r="F12">
        <v>27</v>
      </c>
      <c r="G12">
        <v>0</v>
      </c>
      <c r="H12">
        <v>13</v>
      </c>
      <c r="I12">
        <v>20</v>
      </c>
      <c r="J12">
        <f t="shared" si="0"/>
        <v>15</v>
      </c>
      <c r="K12">
        <v>0</v>
      </c>
      <c r="L12">
        <v>0</v>
      </c>
      <c r="M12">
        <v>57</v>
      </c>
      <c r="N12">
        <v>57</v>
      </c>
      <c r="O12" s="1">
        <v>31</v>
      </c>
      <c r="P12" s="1">
        <v>69</v>
      </c>
      <c r="Q12">
        <f t="shared" si="1"/>
        <v>50</v>
      </c>
    </row>
    <row r="13" spans="1:17">
      <c r="A13" s="2">
        <v>44531</v>
      </c>
      <c r="B13">
        <v>12</v>
      </c>
      <c r="C13">
        <v>90</v>
      </c>
      <c r="D13">
        <v>8</v>
      </c>
      <c r="E13">
        <f t="shared" si="2"/>
        <v>36.6666666666667</v>
      </c>
      <c r="F13">
        <v>30</v>
      </c>
      <c r="G13">
        <v>7</v>
      </c>
      <c r="H13">
        <v>15</v>
      </c>
      <c r="I13">
        <v>26</v>
      </c>
      <c r="J13">
        <f t="shared" si="0"/>
        <v>19.5</v>
      </c>
      <c r="K13">
        <v>0</v>
      </c>
      <c r="L13">
        <v>0</v>
      </c>
      <c r="M13">
        <v>89</v>
      </c>
      <c r="N13">
        <v>89</v>
      </c>
      <c r="O13" s="1">
        <v>30</v>
      </c>
      <c r="P13" s="1">
        <v>100</v>
      </c>
      <c r="Q13">
        <f t="shared" si="1"/>
        <v>65</v>
      </c>
    </row>
    <row r="14" spans="1:17">
      <c r="A14" s="2">
        <v>44562</v>
      </c>
      <c r="B14">
        <v>16</v>
      </c>
      <c r="C14">
        <v>100</v>
      </c>
      <c r="D14">
        <v>11</v>
      </c>
      <c r="E14">
        <f t="shared" si="2"/>
        <v>42.3333333333333</v>
      </c>
      <c r="F14">
        <v>43</v>
      </c>
      <c r="G14">
        <v>16</v>
      </c>
      <c r="H14">
        <v>20</v>
      </c>
      <c r="I14">
        <v>30</v>
      </c>
      <c r="J14">
        <f t="shared" si="0"/>
        <v>27.25</v>
      </c>
      <c r="K14">
        <v>0</v>
      </c>
      <c r="L14">
        <v>0</v>
      </c>
      <c r="M14">
        <v>89</v>
      </c>
      <c r="N14">
        <v>89</v>
      </c>
      <c r="O14" s="1">
        <v>34</v>
      </c>
      <c r="P14" s="1">
        <v>100</v>
      </c>
      <c r="Q14">
        <f t="shared" ref="Q14:Q27" si="3">AVERAGE(O14,P14)</f>
        <v>67</v>
      </c>
    </row>
    <row r="15" spans="1:17">
      <c r="A15" s="2">
        <v>44593</v>
      </c>
      <c r="B15">
        <v>25</v>
      </c>
      <c r="C15">
        <v>89</v>
      </c>
      <c r="D15">
        <v>0</v>
      </c>
      <c r="E15">
        <f t="shared" ref="E15:E31" si="4">AVERAGE(B15,C15,D15)</f>
        <v>38</v>
      </c>
      <c r="F15">
        <v>43</v>
      </c>
      <c r="G15">
        <v>15</v>
      </c>
      <c r="H15">
        <v>12</v>
      </c>
      <c r="I15">
        <v>33</v>
      </c>
      <c r="J15">
        <f t="shared" si="0"/>
        <v>25.75</v>
      </c>
      <c r="K15">
        <v>0</v>
      </c>
      <c r="L15">
        <v>0</v>
      </c>
      <c r="M15">
        <v>96</v>
      </c>
      <c r="N15">
        <v>96</v>
      </c>
      <c r="O15" s="1">
        <v>25</v>
      </c>
      <c r="P15" s="1">
        <v>76</v>
      </c>
      <c r="Q15">
        <f t="shared" si="3"/>
        <v>50.5</v>
      </c>
    </row>
    <row r="16" spans="1:17">
      <c r="A16" s="2">
        <v>44621</v>
      </c>
      <c r="B16">
        <v>14</v>
      </c>
      <c r="C16">
        <v>73</v>
      </c>
      <c r="D16">
        <v>12</v>
      </c>
      <c r="E16">
        <f t="shared" si="4"/>
        <v>33</v>
      </c>
      <c r="F16">
        <v>36</v>
      </c>
      <c r="G16">
        <v>6</v>
      </c>
      <c r="H16">
        <v>6</v>
      </c>
      <c r="I16">
        <v>18</v>
      </c>
      <c r="J16">
        <f t="shared" si="0"/>
        <v>16.5</v>
      </c>
      <c r="K16">
        <v>0</v>
      </c>
      <c r="L16">
        <v>0</v>
      </c>
      <c r="M16">
        <v>57</v>
      </c>
      <c r="N16">
        <v>57</v>
      </c>
      <c r="O16" s="1">
        <v>13</v>
      </c>
      <c r="P16" s="1">
        <v>62</v>
      </c>
      <c r="Q16">
        <f t="shared" si="3"/>
        <v>37.5</v>
      </c>
    </row>
    <row r="17" spans="1:19">
      <c r="A17" s="2">
        <v>44652</v>
      </c>
      <c r="B17">
        <v>15</v>
      </c>
      <c r="C17">
        <v>59</v>
      </c>
      <c r="D17">
        <v>8</v>
      </c>
      <c r="E17">
        <f t="shared" si="4"/>
        <v>27.3333333333333</v>
      </c>
      <c r="F17">
        <v>38</v>
      </c>
      <c r="G17">
        <v>5</v>
      </c>
      <c r="H17">
        <v>9</v>
      </c>
      <c r="I17">
        <v>19</v>
      </c>
      <c r="J17">
        <f t="shared" si="0"/>
        <v>17.75</v>
      </c>
      <c r="K17">
        <v>0</v>
      </c>
      <c r="L17">
        <v>0</v>
      </c>
      <c r="M17">
        <v>50</v>
      </c>
      <c r="N17">
        <v>50</v>
      </c>
      <c r="O17" s="1">
        <v>13</v>
      </c>
      <c r="P17" s="1">
        <v>60</v>
      </c>
      <c r="Q17">
        <f t="shared" si="3"/>
        <v>36.5</v>
      </c>
    </row>
    <row r="18" spans="1:19">
      <c r="A18" s="2">
        <v>44682</v>
      </c>
      <c r="B18">
        <v>9</v>
      </c>
      <c r="C18">
        <v>42</v>
      </c>
      <c r="D18">
        <v>0</v>
      </c>
      <c r="E18">
        <f t="shared" si="4"/>
        <v>17</v>
      </c>
      <c r="F18">
        <v>28</v>
      </c>
      <c r="G18">
        <v>0</v>
      </c>
      <c r="H18">
        <v>5</v>
      </c>
      <c r="I18">
        <v>9</v>
      </c>
      <c r="J18">
        <f t="shared" si="0"/>
        <v>10.5</v>
      </c>
      <c r="K18">
        <v>0</v>
      </c>
      <c r="L18">
        <v>0</v>
      </c>
      <c r="M18">
        <v>39</v>
      </c>
      <c r="N18">
        <v>39</v>
      </c>
      <c r="O18" s="1">
        <v>9</v>
      </c>
      <c r="P18" s="1">
        <v>57</v>
      </c>
      <c r="Q18">
        <f t="shared" si="3"/>
        <v>33</v>
      </c>
    </row>
    <row r="19" spans="1:19">
      <c r="A19" s="2">
        <v>44713</v>
      </c>
      <c r="B19">
        <v>0</v>
      </c>
      <c r="C19">
        <v>33</v>
      </c>
      <c r="D19">
        <v>0</v>
      </c>
      <c r="E19">
        <f t="shared" si="4"/>
        <v>11</v>
      </c>
      <c r="F19">
        <v>16</v>
      </c>
      <c r="G19">
        <v>0</v>
      </c>
      <c r="H19">
        <v>6</v>
      </c>
      <c r="I19">
        <v>10</v>
      </c>
      <c r="J19">
        <f t="shared" si="0"/>
        <v>8</v>
      </c>
      <c r="K19">
        <v>0</v>
      </c>
      <c r="L19">
        <v>0</v>
      </c>
      <c r="M19">
        <v>0</v>
      </c>
      <c r="N19">
        <v>0</v>
      </c>
      <c r="O19" s="1">
        <v>8</v>
      </c>
      <c r="P19" s="1">
        <v>57</v>
      </c>
      <c r="Q19">
        <f t="shared" si="3"/>
        <v>32.5</v>
      </c>
    </row>
    <row r="20" spans="1:19">
      <c r="A20" s="2">
        <v>44743</v>
      </c>
      <c r="B20">
        <v>0</v>
      </c>
      <c r="C20">
        <v>25</v>
      </c>
      <c r="D20">
        <v>0</v>
      </c>
      <c r="E20">
        <f t="shared" si="4"/>
        <v>8.33333333333333</v>
      </c>
      <c r="F20">
        <v>21</v>
      </c>
      <c r="G20">
        <v>0</v>
      </c>
      <c r="H20">
        <v>7</v>
      </c>
      <c r="I20">
        <v>17</v>
      </c>
      <c r="J20">
        <f t="shared" si="0"/>
        <v>11.25</v>
      </c>
      <c r="K20">
        <v>0</v>
      </c>
      <c r="L20">
        <v>0</v>
      </c>
      <c r="M20">
        <v>0</v>
      </c>
      <c r="N20">
        <v>0</v>
      </c>
      <c r="O20" s="1">
        <v>7</v>
      </c>
      <c r="P20" s="1">
        <v>63</v>
      </c>
      <c r="Q20">
        <f t="shared" si="3"/>
        <v>35</v>
      </c>
    </row>
    <row r="21" spans="1:19">
      <c r="A21" s="2">
        <v>44774</v>
      </c>
      <c r="B21">
        <v>8</v>
      </c>
      <c r="C21">
        <v>40</v>
      </c>
      <c r="D21">
        <v>7</v>
      </c>
      <c r="E21">
        <f t="shared" si="4"/>
        <v>18.3333333333333</v>
      </c>
      <c r="F21">
        <v>23</v>
      </c>
      <c r="G21">
        <v>0</v>
      </c>
      <c r="H21">
        <v>7</v>
      </c>
      <c r="I21">
        <v>15</v>
      </c>
      <c r="J21">
        <f t="shared" si="0"/>
        <v>11.25</v>
      </c>
      <c r="K21">
        <v>0</v>
      </c>
      <c r="L21">
        <v>0</v>
      </c>
      <c r="M21">
        <v>29</v>
      </c>
      <c r="N21">
        <v>29</v>
      </c>
      <c r="O21" s="1">
        <v>9</v>
      </c>
      <c r="P21" s="1">
        <v>54</v>
      </c>
      <c r="Q21">
        <f t="shared" si="3"/>
        <v>31.5</v>
      </c>
      <c r="S21" t="s">
        <v>17</v>
      </c>
    </row>
    <row r="22" spans="1:19">
      <c r="A22" s="2">
        <v>44805</v>
      </c>
      <c r="B22">
        <v>11</v>
      </c>
      <c r="C22">
        <v>32</v>
      </c>
      <c r="D22">
        <v>7</v>
      </c>
      <c r="E22">
        <f t="shared" si="4"/>
        <v>16.6666666666667</v>
      </c>
      <c r="F22">
        <v>14</v>
      </c>
      <c r="G22">
        <v>0</v>
      </c>
      <c r="H22">
        <v>0</v>
      </c>
      <c r="I22">
        <v>11</v>
      </c>
      <c r="J22">
        <f t="shared" si="0"/>
        <v>6.25</v>
      </c>
      <c r="K22">
        <v>0</v>
      </c>
      <c r="L22">
        <v>0</v>
      </c>
      <c r="M22">
        <v>0</v>
      </c>
      <c r="N22">
        <v>0</v>
      </c>
      <c r="O22" s="1">
        <v>7</v>
      </c>
      <c r="P22" s="1">
        <v>51</v>
      </c>
      <c r="Q22">
        <f t="shared" si="3"/>
        <v>29</v>
      </c>
    </row>
    <row r="23" spans="1:19">
      <c r="A23" s="2">
        <v>44835</v>
      </c>
      <c r="B23">
        <v>11</v>
      </c>
      <c r="C23">
        <v>49</v>
      </c>
      <c r="D23">
        <v>7</v>
      </c>
      <c r="E23">
        <f t="shared" si="4"/>
        <v>22.3333333333333</v>
      </c>
      <c r="F23">
        <v>31</v>
      </c>
      <c r="G23">
        <v>0</v>
      </c>
      <c r="H23">
        <v>12</v>
      </c>
      <c r="I23">
        <v>17</v>
      </c>
      <c r="J23">
        <f t="shared" si="0"/>
        <v>15</v>
      </c>
      <c r="K23">
        <v>0</v>
      </c>
      <c r="L23">
        <v>0</v>
      </c>
      <c r="M23">
        <v>0</v>
      </c>
      <c r="N23">
        <v>0</v>
      </c>
      <c r="O23" s="1">
        <v>11</v>
      </c>
      <c r="P23" s="1">
        <v>52</v>
      </c>
      <c r="Q23">
        <f t="shared" si="3"/>
        <v>31.5</v>
      </c>
    </row>
    <row r="24" spans="1:19">
      <c r="A24" s="2">
        <v>44866</v>
      </c>
      <c r="B24">
        <v>10</v>
      </c>
      <c r="C24">
        <v>39</v>
      </c>
      <c r="D24">
        <v>8</v>
      </c>
      <c r="E24">
        <f t="shared" si="4"/>
        <v>19</v>
      </c>
      <c r="F24">
        <v>21</v>
      </c>
      <c r="G24">
        <v>0</v>
      </c>
      <c r="H24">
        <v>7</v>
      </c>
      <c r="I24">
        <v>11</v>
      </c>
      <c r="J24">
        <f t="shared" si="0"/>
        <v>9.75</v>
      </c>
      <c r="K24">
        <v>0</v>
      </c>
      <c r="L24">
        <v>0</v>
      </c>
      <c r="M24">
        <v>79</v>
      </c>
      <c r="N24">
        <v>79</v>
      </c>
      <c r="O24" s="1">
        <v>8</v>
      </c>
      <c r="P24" s="1">
        <v>68</v>
      </c>
      <c r="Q24">
        <f t="shared" si="3"/>
        <v>38</v>
      </c>
    </row>
    <row r="25" spans="1:19">
      <c r="A25" s="2">
        <v>44896</v>
      </c>
      <c r="B25">
        <v>0</v>
      </c>
      <c r="C25">
        <v>33</v>
      </c>
      <c r="D25">
        <v>0</v>
      </c>
      <c r="E25">
        <f t="shared" si="4"/>
        <v>11</v>
      </c>
      <c r="F25">
        <v>25</v>
      </c>
      <c r="G25">
        <v>0</v>
      </c>
      <c r="H25">
        <v>28</v>
      </c>
      <c r="I25">
        <v>11</v>
      </c>
      <c r="J25">
        <f t="shared" si="0"/>
        <v>16</v>
      </c>
      <c r="K25">
        <v>0</v>
      </c>
      <c r="L25">
        <v>0</v>
      </c>
      <c r="M25">
        <v>0</v>
      </c>
      <c r="N25">
        <v>0</v>
      </c>
      <c r="O25" s="1">
        <v>6</v>
      </c>
      <c r="P25" s="1">
        <v>81</v>
      </c>
      <c r="Q25">
        <f t="shared" si="3"/>
        <v>43.5</v>
      </c>
    </row>
    <row r="26" spans="1:19">
      <c r="A26" s="2">
        <v>44927</v>
      </c>
      <c r="B26">
        <v>7</v>
      </c>
      <c r="C26">
        <v>20</v>
      </c>
      <c r="D26">
        <v>0</v>
      </c>
      <c r="E26">
        <f t="shared" si="4"/>
        <v>9</v>
      </c>
      <c r="F26">
        <v>14</v>
      </c>
      <c r="G26">
        <v>0</v>
      </c>
      <c r="H26">
        <v>0</v>
      </c>
      <c r="I26">
        <v>0</v>
      </c>
      <c r="J26">
        <f t="shared" si="0"/>
        <v>3.5</v>
      </c>
      <c r="K26">
        <v>0</v>
      </c>
      <c r="L26">
        <v>0</v>
      </c>
      <c r="M26">
        <v>0</v>
      </c>
      <c r="N26">
        <v>0</v>
      </c>
      <c r="O26" s="1">
        <v>4</v>
      </c>
      <c r="P26" s="1">
        <v>65</v>
      </c>
      <c r="Q26">
        <f t="shared" si="3"/>
        <v>34.5</v>
      </c>
    </row>
    <row r="27" spans="1:19">
      <c r="A27" s="2">
        <v>44958</v>
      </c>
      <c r="B27">
        <v>0</v>
      </c>
      <c r="C27">
        <v>21</v>
      </c>
      <c r="D27">
        <v>0</v>
      </c>
      <c r="E27">
        <f t="shared" si="4"/>
        <v>7</v>
      </c>
      <c r="F27">
        <v>21</v>
      </c>
      <c r="G27">
        <v>0</v>
      </c>
      <c r="H27">
        <v>0</v>
      </c>
      <c r="I27">
        <v>9</v>
      </c>
      <c r="J27">
        <f t="shared" si="0"/>
        <v>7.5</v>
      </c>
      <c r="K27">
        <v>0</v>
      </c>
      <c r="L27">
        <v>0</v>
      </c>
      <c r="M27">
        <v>0</v>
      </c>
      <c r="N27">
        <v>0</v>
      </c>
      <c r="O27" s="1">
        <v>4</v>
      </c>
      <c r="P27" s="1">
        <v>57</v>
      </c>
      <c r="Q27">
        <f t="shared" si="3"/>
        <v>30.5</v>
      </c>
    </row>
    <row r="28" spans="1:19">
      <c r="A28" s="2">
        <v>44986</v>
      </c>
      <c r="B28">
        <v>7</v>
      </c>
      <c r="C28">
        <v>15</v>
      </c>
      <c r="D28">
        <v>0</v>
      </c>
      <c r="E28">
        <f t="shared" si="4"/>
        <v>7.33333333333333</v>
      </c>
      <c r="F28">
        <v>16</v>
      </c>
      <c r="G28">
        <v>0</v>
      </c>
      <c r="H28">
        <v>0</v>
      </c>
      <c r="I28">
        <v>9</v>
      </c>
      <c r="J28">
        <f t="shared" si="0"/>
        <v>6.25</v>
      </c>
      <c r="K28">
        <v>0</v>
      </c>
      <c r="L28">
        <v>0</v>
      </c>
      <c r="M28">
        <v>0</v>
      </c>
      <c r="N28">
        <v>0</v>
      </c>
      <c r="O28" s="1">
        <v>5</v>
      </c>
      <c r="P28" s="1">
        <v>58</v>
      </c>
      <c r="Q28">
        <f t="shared" ref="Q28:Q38" si="5">AVERAGE(O28,P28)</f>
        <v>31.5</v>
      </c>
    </row>
    <row r="29" spans="1:19">
      <c r="A29" s="2">
        <v>45017</v>
      </c>
      <c r="B29">
        <v>0</v>
      </c>
      <c r="C29">
        <v>15</v>
      </c>
      <c r="D29">
        <v>0</v>
      </c>
      <c r="E29">
        <f t="shared" si="4"/>
        <v>5</v>
      </c>
      <c r="F29">
        <v>9</v>
      </c>
      <c r="G29">
        <v>0</v>
      </c>
      <c r="H29">
        <v>0</v>
      </c>
      <c r="I29">
        <v>0</v>
      </c>
      <c r="J29">
        <f t="shared" si="0"/>
        <v>2.25</v>
      </c>
      <c r="K29">
        <v>0</v>
      </c>
      <c r="L29">
        <v>0</v>
      </c>
      <c r="M29">
        <v>0</v>
      </c>
      <c r="N29">
        <v>0</v>
      </c>
      <c r="O29" s="1">
        <v>3</v>
      </c>
      <c r="P29" s="1">
        <v>54</v>
      </c>
      <c r="Q29">
        <f t="shared" si="5"/>
        <v>28.5</v>
      </c>
    </row>
    <row r="30" spans="1:19">
      <c r="A30" s="2">
        <v>45047</v>
      </c>
      <c r="B30">
        <v>0</v>
      </c>
      <c r="C30">
        <v>10</v>
      </c>
      <c r="D30">
        <v>0</v>
      </c>
      <c r="E30">
        <f t="shared" si="4"/>
        <v>3.33333333333333</v>
      </c>
      <c r="F30">
        <v>7</v>
      </c>
      <c r="G30">
        <v>0</v>
      </c>
      <c r="H30">
        <v>0</v>
      </c>
      <c r="I30">
        <v>0</v>
      </c>
      <c r="J30">
        <f t="shared" si="0"/>
        <v>1.75</v>
      </c>
      <c r="K30">
        <v>0</v>
      </c>
      <c r="L30">
        <v>0</v>
      </c>
      <c r="M30">
        <v>0</v>
      </c>
      <c r="N30">
        <v>0</v>
      </c>
      <c r="O30" s="1">
        <v>3</v>
      </c>
      <c r="P30" s="1">
        <v>48</v>
      </c>
      <c r="Q30">
        <f t="shared" si="5"/>
        <v>25.5</v>
      </c>
    </row>
    <row r="31" spans="1:19">
      <c r="A31" s="2">
        <v>45078</v>
      </c>
      <c r="B31">
        <v>0</v>
      </c>
      <c r="C31">
        <v>8</v>
      </c>
      <c r="D31">
        <v>0</v>
      </c>
      <c r="E31">
        <f t="shared" si="4"/>
        <v>2.66666666666667</v>
      </c>
      <c r="F31">
        <v>9</v>
      </c>
      <c r="G31">
        <v>0</v>
      </c>
      <c r="H31">
        <v>0</v>
      </c>
      <c r="I31">
        <v>0</v>
      </c>
      <c r="J31">
        <f t="shared" si="0"/>
        <v>2.25</v>
      </c>
      <c r="K31">
        <v>49</v>
      </c>
      <c r="L31">
        <v>49</v>
      </c>
      <c r="M31">
        <v>0</v>
      </c>
      <c r="N31">
        <v>0</v>
      </c>
      <c r="O31" s="1">
        <v>2</v>
      </c>
      <c r="P31" s="1">
        <v>63</v>
      </c>
      <c r="Q31">
        <f t="shared" si="5"/>
        <v>32.5</v>
      </c>
    </row>
    <row r="32" spans="1:19">
      <c r="A32" s="2">
        <v>45108</v>
      </c>
      <c r="B32">
        <v>0</v>
      </c>
      <c r="C32">
        <v>13</v>
      </c>
      <c r="D32">
        <v>0</v>
      </c>
      <c r="E32">
        <f t="shared" ref="E32:E46" si="6">AVERAGE(B32,C32,D32)</f>
        <v>4.33333333333333</v>
      </c>
      <c r="F32">
        <v>7</v>
      </c>
      <c r="G32">
        <v>0</v>
      </c>
      <c r="H32">
        <v>0</v>
      </c>
      <c r="I32">
        <v>0</v>
      </c>
      <c r="J32">
        <f t="shared" si="0"/>
        <v>1.75</v>
      </c>
      <c r="K32">
        <v>4</v>
      </c>
      <c r="L32">
        <v>4</v>
      </c>
      <c r="M32">
        <v>0</v>
      </c>
      <c r="N32">
        <v>0</v>
      </c>
      <c r="O32" s="1">
        <v>2</v>
      </c>
      <c r="P32" s="1">
        <v>55</v>
      </c>
      <c r="Q32">
        <f t="shared" si="5"/>
        <v>28.5</v>
      </c>
    </row>
    <row r="33" spans="1:17">
      <c r="A33" s="2">
        <v>45139</v>
      </c>
      <c r="B33">
        <v>0</v>
      </c>
      <c r="C33">
        <v>9</v>
      </c>
      <c r="D33">
        <v>0</v>
      </c>
      <c r="E33">
        <f t="shared" si="6"/>
        <v>3</v>
      </c>
      <c r="F33">
        <v>0</v>
      </c>
      <c r="G33">
        <v>0</v>
      </c>
      <c r="H33">
        <v>0</v>
      </c>
      <c r="I33">
        <v>0</v>
      </c>
      <c r="J33">
        <f t="shared" si="0"/>
        <v>0</v>
      </c>
      <c r="K33">
        <v>3</v>
      </c>
      <c r="L33">
        <v>3</v>
      </c>
      <c r="M33">
        <v>0</v>
      </c>
      <c r="N33">
        <v>0</v>
      </c>
      <c r="O33" s="1">
        <v>2</v>
      </c>
      <c r="P33" s="1">
        <v>48</v>
      </c>
      <c r="Q33">
        <f t="shared" si="5"/>
        <v>25</v>
      </c>
    </row>
    <row r="34" spans="1:17">
      <c r="A34" s="2">
        <v>45170</v>
      </c>
      <c r="B34">
        <v>0</v>
      </c>
      <c r="C34">
        <v>7</v>
      </c>
      <c r="D34">
        <v>0</v>
      </c>
      <c r="E34">
        <f t="shared" si="6"/>
        <v>2.33333333333333</v>
      </c>
      <c r="F34">
        <v>8</v>
      </c>
      <c r="G34">
        <v>0</v>
      </c>
      <c r="H34">
        <v>0</v>
      </c>
      <c r="I34">
        <v>0</v>
      </c>
      <c r="J34">
        <f t="shared" si="0"/>
        <v>2</v>
      </c>
      <c r="K34">
        <v>4</v>
      </c>
      <c r="L34">
        <v>4</v>
      </c>
      <c r="M34">
        <v>0</v>
      </c>
      <c r="N34">
        <v>0</v>
      </c>
      <c r="O34" s="1">
        <v>2</v>
      </c>
      <c r="P34" s="1">
        <v>46</v>
      </c>
      <c r="Q34">
        <f t="shared" si="5"/>
        <v>24</v>
      </c>
    </row>
    <row r="35" spans="1:17">
      <c r="A35" s="2">
        <v>45200</v>
      </c>
      <c r="B35">
        <v>0</v>
      </c>
      <c r="C35">
        <v>7</v>
      </c>
      <c r="D35">
        <v>0</v>
      </c>
      <c r="E35">
        <f t="shared" si="6"/>
        <v>2.33333333333333</v>
      </c>
      <c r="F35">
        <v>7</v>
      </c>
      <c r="G35">
        <v>0</v>
      </c>
      <c r="H35">
        <v>0</v>
      </c>
      <c r="I35">
        <v>0</v>
      </c>
      <c r="J35">
        <f t="shared" ref="J35:J62" si="7">AVERAGE(F35,G35,H35,I35)</f>
        <v>1.75</v>
      </c>
      <c r="K35">
        <v>3</v>
      </c>
      <c r="L35">
        <v>3</v>
      </c>
      <c r="M35">
        <v>0</v>
      </c>
      <c r="N35">
        <v>0</v>
      </c>
      <c r="O35" s="1">
        <v>4</v>
      </c>
      <c r="P35" s="1">
        <v>55</v>
      </c>
      <c r="Q35">
        <f t="shared" si="5"/>
        <v>29.5</v>
      </c>
    </row>
    <row r="36" spans="1:17">
      <c r="A36" s="2">
        <v>45231</v>
      </c>
      <c r="B36">
        <v>0</v>
      </c>
      <c r="C36">
        <v>7</v>
      </c>
      <c r="D36">
        <v>7</v>
      </c>
      <c r="E36">
        <f t="shared" si="6"/>
        <v>4.66666666666667</v>
      </c>
      <c r="F36">
        <v>11</v>
      </c>
      <c r="G36">
        <v>0</v>
      </c>
      <c r="H36">
        <v>0</v>
      </c>
      <c r="I36">
        <v>0</v>
      </c>
      <c r="J36">
        <f t="shared" si="7"/>
        <v>2.75</v>
      </c>
      <c r="K36">
        <v>3</v>
      </c>
      <c r="L36">
        <v>3</v>
      </c>
      <c r="M36">
        <v>0</v>
      </c>
      <c r="N36">
        <v>0</v>
      </c>
      <c r="O36" s="1">
        <v>2</v>
      </c>
      <c r="P36" s="1">
        <v>67</v>
      </c>
      <c r="Q36">
        <f t="shared" si="5"/>
        <v>34.5</v>
      </c>
    </row>
    <row r="37" spans="1:17">
      <c r="A37" s="2">
        <v>45261</v>
      </c>
      <c r="B37">
        <v>0</v>
      </c>
      <c r="C37">
        <v>0</v>
      </c>
      <c r="D37">
        <v>0</v>
      </c>
      <c r="E37">
        <f t="shared" si="6"/>
        <v>0</v>
      </c>
      <c r="F37">
        <v>6</v>
      </c>
      <c r="G37">
        <v>0</v>
      </c>
      <c r="H37">
        <v>0</v>
      </c>
      <c r="I37">
        <v>0</v>
      </c>
      <c r="J37">
        <f t="shared" si="7"/>
        <v>1.5</v>
      </c>
      <c r="K37">
        <v>4</v>
      </c>
      <c r="L37">
        <v>4</v>
      </c>
      <c r="M37">
        <v>0</v>
      </c>
      <c r="N37">
        <v>0</v>
      </c>
      <c r="O37" s="1">
        <v>2</v>
      </c>
      <c r="P37" s="1">
        <v>84</v>
      </c>
      <c r="Q37">
        <f t="shared" si="5"/>
        <v>43</v>
      </c>
    </row>
    <row r="38" spans="1:17">
      <c r="A38" s="2">
        <v>45292</v>
      </c>
      <c r="B38">
        <v>0</v>
      </c>
      <c r="C38">
        <v>8</v>
      </c>
      <c r="D38">
        <v>0</v>
      </c>
      <c r="E38">
        <f t="shared" si="6"/>
        <v>2.66666666666667</v>
      </c>
      <c r="F38">
        <v>7</v>
      </c>
      <c r="G38">
        <v>0</v>
      </c>
      <c r="H38">
        <v>0</v>
      </c>
      <c r="I38">
        <v>0</v>
      </c>
      <c r="J38">
        <f t="shared" si="7"/>
        <v>1.75</v>
      </c>
      <c r="K38">
        <v>29</v>
      </c>
      <c r="L38">
        <v>29</v>
      </c>
      <c r="M38">
        <v>0</v>
      </c>
      <c r="N38">
        <v>0</v>
      </c>
      <c r="O38" s="1">
        <v>2</v>
      </c>
      <c r="P38" s="1">
        <v>63</v>
      </c>
      <c r="Q38">
        <f t="shared" si="5"/>
        <v>32.5</v>
      </c>
    </row>
    <row r="39" spans="1:17">
      <c r="A39" s="2">
        <v>45323</v>
      </c>
      <c r="B39">
        <v>0</v>
      </c>
      <c r="C39">
        <v>0</v>
      </c>
      <c r="D39">
        <v>0</v>
      </c>
      <c r="E39">
        <f t="shared" si="6"/>
        <v>0</v>
      </c>
      <c r="F39">
        <v>9</v>
      </c>
      <c r="G39">
        <v>0</v>
      </c>
      <c r="H39">
        <v>0</v>
      </c>
      <c r="I39">
        <v>0</v>
      </c>
      <c r="J39">
        <f t="shared" si="7"/>
        <v>2.25</v>
      </c>
      <c r="K39">
        <v>100</v>
      </c>
      <c r="L39">
        <v>100</v>
      </c>
      <c r="M39">
        <v>0</v>
      </c>
      <c r="N39">
        <v>0</v>
      </c>
      <c r="O39" s="1">
        <v>2</v>
      </c>
      <c r="P39" s="1">
        <v>56</v>
      </c>
      <c r="Q39">
        <f t="shared" ref="Q39:Q55" si="8">AVERAGE(O39,P39)</f>
        <v>29</v>
      </c>
    </row>
    <row r="40" spans="1:17">
      <c r="A40" s="2">
        <v>45352</v>
      </c>
      <c r="B40">
        <v>0</v>
      </c>
      <c r="C40">
        <v>11</v>
      </c>
      <c r="D40">
        <v>0</v>
      </c>
      <c r="E40">
        <f t="shared" si="6"/>
        <v>3.66666666666667</v>
      </c>
      <c r="F40">
        <v>16</v>
      </c>
      <c r="G40">
        <v>0</v>
      </c>
      <c r="H40">
        <v>0</v>
      </c>
      <c r="I40">
        <v>0</v>
      </c>
      <c r="J40">
        <f t="shared" si="7"/>
        <v>4</v>
      </c>
      <c r="K40">
        <v>16</v>
      </c>
      <c r="L40">
        <v>16</v>
      </c>
      <c r="M40">
        <v>0</v>
      </c>
      <c r="N40">
        <v>0</v>
      </c>
      <c r="O40" s="1">
        <v>2</v>
      </c>
      <c r="P40" s="1">
        <v>55</v>
      </c>
      <c r="Q40">
        <f t="shared" si="8"/>
        <v>28.5</v>
      </c>
    </row>
    <row r="41" spans="1:17">
      <c r="A41" s="2">
        <v>45383</v>
      </c>
      <c r="B41">
        <v>0</v>
      </c>
      <c r="C41">
        <v>0</v>
      </c>
      <c r="D41">
        <v>0</v>
      </c>
      <c r="E41">
        <f t="shared" si="6"/>
        <v>0</v>
      </c>
      <c r="F41">
        <v>9</v>
      </c>
      <c r="G41">
        <v>0</v>
      </c>
      <c r="H41">
        <v>0</v>
      </c>
      <c r="I41">
        <v>0</v>
      </c>
      <c r="J41">
        <f t="shared" si="7"/>
        <v>2.25</v>
      </c>
      <c r="K41">
        <v>9</v>
      </c>
      <c r="L41">
        <v>9</v>
      </c>
      <c r="M41">
        <v>54</v>
      </c>
      <c r="N41">
        <v>54</v>
      </c>
      <c r="O41" s="1">
        <v>1</v>
      </c>
      <c r="P41" s="1">
        <v>50</v>
      </c>
      <c r="Q41">
        <f t="shared" si="8"/>
        <v>25.5</v>
      </c>
    </row>
    <row r="42" spans="1:17">
      <c r="A42" s="2">
        <v>45413</v>
      </c>
      <c r="B42">
        <v>0</v>
      </c>
      <c r="C42">
        <v>0</v>
      </c>
      <c r="D42">
        <v>0</v>
      </c>
      <c r="E42">
        <f t="shared" si="6"/>
        <v>0</v>
      </c>
      <c r="F42">
        <v>0</v>
      </c>
      <c r="G42">
        <v>0</v>
      </c>
      <c r="H42">
        <v>0</v>
      </c>
      <c r="I42">
        <v>0</v>
      </c>
      <c r="J42">
        <f t="shared" si="7"/>
        <v>0</v>
      </c>
      <c r="K42">
        <v>7</v>
      </c>
      <c r="L42">
        <v>7</v>
      </c>
      <c r="M42">
        <v>0</v>
      </c>
      <c r="N42">
        <v>0</v>
      </c>
      <c r="O42" s="1">
        <v>1</v>
      </c>
      <c r="P42" s="1">
        <v>47</v>
      </c>
      <c r="Q42">
        <f t="shared" si="8"/>
        <v>24</v>
      </c>
    </row>
    <row r="43" spans="1:17">
      <c r="A43" s="2">
        <v>45444</v>
      </c>
      <c r="B43">
        <v>0</v>
      </c>
      <c r="C43">
        <v>0</v>
      </c>
      <c r="D43">
        <v>0</v>
      </c>
      <c r="E43">
        <f t="shared" si="6"/>
        <v>0</v>
      </c>
      <c r="F43">
        <v>0</v>
      </c>
      <c r="G43">
        <v>0</v>
      </c>
      <c r="H43">
        <v>0</v>
      </c>
      <c r="I43">
        <v>0</v>
      </c>
      <c r="J43">
        <f t="shared" si="7"/>
        <v>0</v>
      </c>
      <c r="K43">
        <v>6</v>
      </c>
      <c r="L43">
        <v>6</v>
      </c>
      <c r="M43">
        <v>0</v>
      </c>
      <c r="N43">
        <v>0</v>
      </c>
      <c r="O43" s="1">
        <v>1</v>
      </c>
      <c r="P43" s="1">
        <v>51</v>
      </c>
      <c r="Q43">
        <f t="shared" si="8"/>
        <v>26</v>
      </c>
    </row>
    <row r="44" spans="1:17">
      <c r="A44" s="2">
        <v>45474</v>
      </c>
      <c r="B44">
        <v>0</v>
      </c>
      <c r="C44">
        <v>8</v>
      </c>
      <c r="D44">
        <v>0</v>
      </c>
      <c r="E44">
        <f t="shared" si="6"/>
        <v>2.66666666666667</v>
      </c>
      <c r="F44">
        <v>0</v>
      </c>
      <c r="G44">
        <v>0</v>
      </c>
      <c r="H44">
        <v>0</v>
      </c>
      <c r="I44">
        <v>0</v>
      </c>
      <c r="J44">
        <f t="shared" si="7"/>
        <v>0</v>
      </c>
      <c r="K44">
        <v>5</v>
      </c>
      <c r="L44">
        <v>5</v>
      </c>
      <c r="M44">
        <v>0</v>
      </c>
      <c r="N44">
        <v>0</v>
      </c>
      <c r="O44" s="1">
        <v>1</v>
      </c>
      <c r="P44" s="1">
        <v>53</v>
      </c>
      <c r="Q44">
        <f t="shared" si="8"/>
        <v>27</v>
      </c>
    </row>
    <row r="45" spans="1:17">
      <c r="A45" s="2">
        <v>45505</v>
      </c>
      <c r="B45">
        <v>0</v>
      </c>
      <c r="C45">
        <v>0</v>
      </c>
      <c r="D45">
        <v>0</v>
      </c>
      <c r="E45">
        <f t="shared" si="6"/>
        <v>0</v>
      </c>
      <c r="F45">
        <v>0</v>
      </c>
      <c r="G45">
        <v>0</v>
      </c>
      <c r="H45">
        <v>0</v>
      </c>
      <c r="I45">
        <v>0</v>
      </c>
      <c r="J45">
        <f t="shared" si="7"/>
        <v>0</v>
      </c>
      <c r="K45">
        <v>4</v>
      </c>
      <c r="L45">
        <v>4</v>
      </c>
      <c r="M45">
        <v>0</v>
      </c>
      <c r="N45">
        <v>0</v>
      </c>
      <c r="O45" s="1">
        <v>1</v>
      </c>
      <c r="P45" s="1">
        <v>51</v>
      </c>
      <c r="Q45">
        <f t="shared" si="8"/>
        <v>26</v>
      </c>
    </row>
    <row r="46" spans="1:17">
      <c r="A46" s="2">
        <v>45536</v>
      </c>
      <c r="B46">
        <v>0</v>
      </c>
      <c r="C46">
        <v>8</v>
      </c>
      <c r="D46">
        <v>0</v>
      </c>
      <c r="E46">
        <f t="shared" si="6"/>
        <v>2.66666666666667</v>
      </c>
      <c r="F46">
        <v>10</v>
      </c>
      <c r="G46">
        <v>0</v>
      </c>
      <c r="H46">
        <v>0</v>
      </c>
      <c r="I46">
        <v>0</v>
      </c>
      <c r="J46">
        <f t="shared" si="7"/>
        <v>2.5</v>
      </c>
      <c r="K46">
        <v>4</v>
      </c>
      <c r="L46">
        <v>4</v>
      </c>
      <c r="M46">
        <v>0</v>
      </c>
      <c r="N46">
        <v>0</v>
      </c>
      <c r="O46" s="1">
        <v>1</v>
      </c>
      <c r="P46" s="1">
        <v>46</v>
      </c>
      <c r="Q46">
        <f t="shared" si="8"/>
        <v>23.5</v>
      </c>
    </row>
    <row r="47" spans="1:17">
      <c r="A47" s="2">
        <v>45566</v>
      </c>
      <c r="B47">
        <v>0</v>
      </c>
      <c r="C47">
        <v>0</v>
      </c>
      <c r="D47">
        <v>7</v>
      </c>
      <c r="E47">
        <f t="shared" ref="E47:E62" si="9">AVERAGE(B47,C47,D47)</f>
        <v>2.33333333333333</v>
      </c>
      <c r="F47">
        <v>0</v>
      </c>
      <c r="G47">
        <v>0</v>
      </c>
      <c r="H47">
        <v>0</v>
      </c>
      <c r="I47">
        <v>0</v>
      </c>
      <c r="J47">
        <f t="shared" si="7"/>
        <v>0</v>
      </c>
      <c r="K47">
        <v>5</v>
      </c>
      <c r="L47">
        <v>5</v>
      </c>
      <c r="M47">
        <v>0</v>
      </c>
      <c r="N47">
        <v>0</v>
      </c>
      <c r="O47" s="1">
        <v>1</v>
      </c>
      <c r="P47" s="1">
        <v>47</v>
      </c>
      <c r="Q47">
        <f t="shared" si="8"/>
        <v>24</v>
      </c>
    </row>
    <row r="48" spans="1:17">
      <c r="A48" s="2">
        <v>45597</v>
      </c>
      <c r="B48">
        <v>0</v>
      </c>
      <c r="C48">
        <v>0</v>
      </c>
      <c r="D48">
        <v>0</v>
      </c>
      <c r="E48">
        <f t="shared" si="9"/>
        <v>0</v>
      </c>
      <c r="F48">
        <v>11</v>
      </c>
      <c r="G48">
        <v>0</v>
      </c>
      <c r="H48">
        <v>0</v>
      </c>
      <c r="I48">
        <v>0</v>
      </c>
      <c r="J48">
        <f t="shared" si="7"/>
        <v>2.75</v>
      </c>
      <c r="K48">
        <v>5</v>
      </c>
      <c r="L48">
        <v>5</v>
      </c>
      <c r="M48">
        <v>0</v>
      </c>
      <c r="N48">
        <v>0</v>
      </c>
      <c r="O48" s="1">
        <v>1</v>
      </c>
      <c r="P48" s="1">
        <v>65</v>
      </c>
      <c r="Q48">
        <f t="shared" si="8"/>
        <v>33</v>
      </c>
    </row>
    <row r="49" spans="1:17">
      <c r="A49" s="2">
        <v>45627</v>
      </c>
      <c r="B49">
        <v>0</v>
      </c>
      <c r="C49">
        <v>0</v>
      </c>
      <c r="D49">
        <v>0</v>
      </c>
      <c r="E49">
        <f t="shared" si="9"/>
        <v>0</v>
      </c>
      <c r="F49">
        <v>0</v>
      </c>
      <c r="G49">
        <v>0</v>
      </c>
      <c r="H49">
        <v>0</v>
      </c>
      <c r="I49">
        <v>0</v>
      </c>
      <c r="J49">
        <f t="shared" si="7"/>
        <v>0</v>
      </c>
      <c r="K49">
        <v>5</v>
      </c>
      <c r="L49">
        <v>5</v>
      </c>
      <c r="M49">
        <v>0</v>
      </c>
      <c r="N49">
        <v>0</v>
      </c>
      <c r="O49" s="1">
        <v>1</v>
      </c>
      <c r="P49" s="1">
        <v>82</v>
      </c>
      <c r="Q49">
        <f t="shared" si="8"/>
        <v>41.5</v>
      </c>
    </row>
    <row r="50" spans="1:17">
      <c r="A50" s="2">
        <v>45658</v>
      </c>
      <c r="B50">
        <v>0</v>
      </c>
      <c r="C50">
        <v>8</v>
      </c>
      <c r="D50">
        <v>0</v>
      </c>
      <c r="E50">
        <f t="shared" si="9"/>
        <v>2.66666666666667</v>
      </c>
      <c r="F50">
        <v>0</v>
      </c>
      <c r="G50">
        <v>0</v>
      </c>
      <c r="H50">
        <v>0</v>
      </c>
      <c r="I50">
        <v>0</v>
      </c>
      <c r="J50">
        <f t="shared" si="7"/>
        <v>0</v>
      </c>
      <c r="K50">
        <v>4</v>
      </c>
      <c r="L50">
        <v>4</v>
      </c>
      <c r="M50">
        <v>0</v>
      </c>
      <c r="N50">
        <v>0</v>
      </c>
      <c r="O50" s="1">
        <v>1</v>
      </c>
      <c r="P50" s="1">
        <v>68</v>
      </c>
      <c r="Q50">
        <f t="shared" si="8"/>
        <v>34.5</v>
      </c>
    </row>
    <row r="51" spans="1:17">
      <c r="A51" s="2">
        <v>45689</v>
      </c>
      <c r="B51">
        <v>10</v>
      </c>
      <c r="C51">
        <v>11</v>
      </c>
      <c r="D51">
        <v>0</v>
      </c>
      <c r="E51">
        <f t="shared" si="9"/>
        <v>7</v>
      </c>
      <c r="F51">
        <v>10</v>
      </c>
      <c r="G51">
        <v>0</v>
      </c>
      <c r="H51">
        <v>0</v>
      </c>
      <c r="I51">
        <v>0</v>
      </c>
      <c r="J51">
        <f t="shared" si="7"/>
        <v>2.5</v>
      </c>
      <c r="K51">
        <v>4</v>
      </c>
      <c r="L51">
        <v>4</v>
      </c>
      <c r="M51">
        <v>0</v>
      </c>
      <c r="N51">
        <v>0</v>
      </c>
      <c r="O51" s="1">
        <v>1</v>
      </c>
      <c r="P51" s="1">
        <v>59</v>
      </c>
      <c r="Q51">
        <f t="shared" si="8"/>
        <v>30</v>
      </c>
    </row>
    <row r="52" spans="1:17">
      <c r="A52" s="2">
        <v>45717</v>
      </c>
      <c r="B52">
        <v>0</v>
      </c>
      <c r="C52">
        <v>0</v>
      </c>
      <c r="D52">
        <v>0</v>
      </c>
      <c r="E52">
        <f t="shared" si="9"/>
        <v>0</v>
      </c>
      <c r="F52">
        <v>13</v>
      </c>
      <c r="G52">
        <v>0</v>
      </c>
      <c r="H52">
        <v>0</v>
      </c>
      <c r="I52">
        <v>0</v>
      </c>
      <c r="J52">
        <f t="shared" si="7"/>
        <v>3.25</v>
      </c>
      <c r="K52">
        <v>3</v>
      </c>
      <c r="L52">
        <v>3</v>
      </c>
      <c r="M52">
        <v>0</v>
      </c>
      <c r="N52">
        <v>0</v>
      </c>
      <c r="O52" s="1">
        <v>1</v>
      </c>
      <c r="P52" s="1">
        <v>55</v>
      </c>
      <c r="Q52">
        <f t="shared" si="8"/>
        <v>28</v>
      </c>
    </row>
    <row r="53" spans="1:17">
      <c r="A53" s="2">
        <v>45748</v>
      </c>
      <c r="B53">
        <v>0</v>
      </c>
      <c r="C53">
        <v>10</v>
      </c>
      <c r="D53">
        <v>0</v>
      </c>
      <c r="E53">
        <f t="shared" si="9"/>
        <v>3.33333333333333</v>
      </c>
      <c r="F53">
        <v>9</v>
      </c>
      <c r="G53">
        <v>0</v>
      </c>
      <c r="H53">
        <v>0</v>
      </c>
      <c r="I53">
        <v>0</v>
      </c>
      <c r="J53">
        <f t="shared" si="7"/>
        <v>2.25</v>
      </c>
      <c r="K53">
        <v>3</v>
      </c>
      <c r="L53">
        <v>3</v>
      </c>
      <c r="M53">
        <v>0</v>
      </c>
      <c r="N53">
        <v>0</v>
      </c>
      <c r="O53" s="1">
        <v>1</v>
      </c>
      <c r="P53" s="1">
        <v>52</v>
      </c>
      <c r="Q53">
        <f t="shared" si="8"/>
        <v>26.5</v>
      </c>
    </row>
    <row r="54" spans="1:17">
      <c r="A54" s="2">
        <v>45778</v>
      </c>
      <c r="B54">
        <v>0</v>
      </c>
      <c r="C54">
        <v>0</v>
      </c>
      <c r="D54">
        <v>0</v>
      </c>
      <c r="E54">
        <f t="shared" si="9"/>
        <v>0</v>
      </c>
      <c r="F54">
        <v>0</v>
      </c>
      <c r="G54">
        <v>0</v>
      </c>
      <c r="H54">
        <v>0</v>
      </c>
      <c r="I54">
        <v>0</v>
      </c>
      <c r="J54">
        <f t="shared" si="7"/>
        <v>0</v>
      </c>
      <c r="K54">
        <v>3</v>
      </c>
      <c r="L54">
        <v>3</v>
      </c>
      <c r="M54">
        <v>0</v>
      </c>
      <c r="N54">
        <v>0</v>
      </c>
      <c r="O54" s="1">
        <v>1</v>
      </c>
      <c r="P54" s="1">
        <v>51</v>
      </c>
      <c r="Q54">
        <f t="shared" si="8"/>
        <v>26</v>
      </c>
    </row>
    <row r="55" spans="1:17">
      <c r="A55" s="2">
        <v>45809</v>
      </c>
      <c r="B55">
        <v>14</v>
      </c>
      <c r="C55">
        <v>15</v>
      </c>
      <c r="D55">
        <v>0</v>
      </c>
      <c r="E55">
        <f t="shared" si="9"/>
        <v>9.66666666666667</v>
      </c>
      <c r="F55">
        <v>7</v>
      </c>
      <c r="G55">
        <v>0</v>
      </c>
      <c r="H55">
        <v>0</v>
      </c>
      <c r="I55">
        <v>0</v>
      </c>
      <c r="J55">
        <f t="shared" si="7"/>
        <v>1.75</v>
      </c>
      <c r="K55">
        <v>3</v>
      </c>
      <c r="L55">
        <v>3</v>
      </c>
      <c r="M55">
        <v>0</v>
      </c>
      <c r="N55">
        <v>0</v>
      </c>
      <c r="O55" s="1">
        <v>1</v>
      </c>
      <c r="P55" s="1">
        <v>56</v>
      </c>
      <c r="Q55">
        <f t="shared" si="8"/>
        <v>28.5</v>
      </c>
    </row>
    <row r="56" spans="1:17">
      <c r="A56" s="2">
        <v>45839</v>
      </c>
      <c r="B56">
        <v>15</v>
      </c>
      <c r="C56">
        <v>10</v>
      </c>
      <c r="D56">
        <v>0</v>
      </c>
      <c r="E56">
        <f t="shared" si="9"/>
        <v>8.33333333333333</v>
      </c>
      <c r="F56">
        <v>16</v>
      </c>
      <c r="G56">
        <v>0</v>
      </c>
      <c r="H56">
        <v>0</v>
      </c>
      <c r="I56">
        <v>0</v>
      </c>
      <c r="J56">
        <f t="shared" si="7"/>
        <v>4</v>
      </c>
      <c r="K56">
        <v>4</v>
      </c>
      <c r="L56">
        <v>4</v>
      </c>
      <c r="M56">
        <v>0</v>
      </c>
      <c r="N56">
        <v>0</v>
      </c>
      <c r="O56" s="1">
        <v>1</v>
      </c>
      <c r="P56" s="1">
        <v>62</v>
      </c>
      <c r="Q56">
        <f t="shared" ref="Q56:Q62" si="10">AVERAGE(O56,P56)</f>
        <v>31.5</v>
      </c>
    </row>
    <row r="57" spans="1:17">
      <c r="A57" s="2">
        <v>45870</v>
      </c>
      <c r="B57">
        <v>14</v>
      </c>
      <c r="C57">
        <v>11</v>
      </c>
      <c r="D57">
        <v>0</v>
      </c>
      <c r="E57">
        <f t="shared" si="9"/>
        <v>8.33333333333333</v>
      </c>
      <c r="F57">
        <v>17</v>
      </c>
      <c r="G57">
        <v>0</v>
      </c>
      <c r="H57">
        <v>0</v>
      </c>
      <c r="I57">
        <v>0</v>
      </c>
      <c r="J57">
        <f t="shared" si="7"/>
        <v>4.25</v>
      </c>
      <c r="K57">
        <v>3</v>
      </c>
      <c r="L57">
        <v>3</v>
      </c>
      <c r="M57">
        <v>0</v>
      </c>
      <c r="N57">
        <v>0</v>
      </c>
      <c r="O57" s="1">
        <v>1</v>
      </c>
      <c r="P57" s="1">
        <v>53</v>
      </c>
      <c r="Q57">
        <f t="shared" si="10"/>
        <v>27</v>
      </c>
    </row>
    <row r="58" spans="1:17">
      <c r="A58" s="2">
        <v>45901</v>
      </c>
      <c r="B58">
        <v>13</v>
      </c>
      <c r="C58">
        <v>11</v>
      </c>
      <c r="D58">
        <v>0</v>
      </c>
      <c r="E58">
        <f t="shared" si="9"/>
        <v>8</v>
      </c>
      <c r="F58">
        <v>20</v>
      </c>
      <c r="G58">
        <v>0</v>
      </c>
      <c r="H58">
        <v>0</v>
      </c>
      <c r="I58">
        <v>0</v>
      </c>
      <c r="J58">
        <f t="shared" si="7"/>
        <v>5</v>
      </c>
      <c r="K58">
        <v>3</v>
      </c>
      <c r="L58">
        <v>3</v>
      </c>
      <c r="M58">
        <v>0</v>
      </c>
      <c r="N58">
        <v>0</v>
      </c>
      <c r="O58" s="1">
        <v>1</v>
      </c>
      <c r="P58" s="1">
        <v>51</v>
      </c>
      <c r="Q58">
        <f t="shared" si="10"/>
        <v>26</v>
      </c>
    </row>
    <row r="59" spans="1:17">
      <c r="A59" s="2">
        <v>45931</v>
      </c>
      <c r="B59">
        <v>8</v>
      </c>
      <c r="C59">
        <v>12</v>
      </c>
      <c r="D59">
        <v>0</v>
      </c>
      <c r="E59">
        <f t="shared" si="9"/>
        <v>6.66666666666667</v>
      </c>
      <c r="F59">
        <v>22</v>
      </c>
      <c r="G59">
        <v>0</v>
      </c>
      <c r="H59">
        <v>0</v>
      </c>
      <c r="I59">
        <v>0</v>
      </c>
      <c r="J59">
        <f t="shared" si="7"/>
        <v>5.5</v>
      </c>
      <c r="K59">
        <v>4</v>
      </c>
      <c r="L59">
        <v>4</v>
      </c>
      <c r="M59">
        <v>0</v>
      </c>
      <c r="N59">
        <v>0</v>
      </c>
      <c r="O59" s="1">
        <v>1</v>
      </c>
      <c r="P59" s="1">
        <v>50</v>
      </c>
      <c r="Q59">
        <f t="shared" si="10"/>
        <v>25.5</v>
      </c>
    </row>
    <row r="60" spans="1:17">
      <c r="A60" s="2">
        <v>45962</v>
      </c>
      <c r="B60">
        <v>14</v>
      </c>
      <c r="C60">
        <v>15</v>
      </c>
      <c r="D60">
        <v>0</v>
      </c>
      <c r="E60">
        <f t="shared" si="9"/>
        <v>9.66666666666667</v>
      </c>
      <c r="F60">
        <v>14</v>
      </c>
      <c r="G60">
        <v>0</v>
      </c>
      <c r="H60">
        <v>0</v>
      </c>
      <c r="I60">
        <v>7</v>
      </c>
      <c r="J60">
        <f t="shared" si="7"/>
        <v>5.25</v>
      </c>
      <c r="K60">
        <v>5</v>
      </c>
      <c r="L60">
        <v>5</v>
      </c>
      <c r="M60">
        <v>0</v>
      </c>
      <c r="N60">
        <v>0</v>
      </c>
      <c r="O60" s="1">
        <v>1</v>
      </c>
      <c r="P60" s="1">
        <v>75</v>
      </c>
      <c r="Q60">
        <f t="shared" si="10"/>
        <v>38</v>
      </c>
    </row>
    <row r="61" spans="1:17">
      <c r="A61" s="2">
        <v>45992</v>
      </c>
      <c r="B61">
        <v>26</v>
      </c>
      <c r="C61">
        <v>25</v>
      </c>
      <c r="D61">
        <v>0</v>
      </c>
      <c r="E61">
        <f t="shared" si="9"/>
        <v>17</v>
      </c>
      <c r="F61">
        <v>31</v>
      </c>
      <c r="G61">
        <v>0</v>
      </c>
      <c r="H61">
        <v>10</v>
      </c>
      <c r="I61">
        <v>0</v>
      </c>
      <c r="J61">
        <f t="shared" si="7"/>
        <v>10.25</v>
      </c>
      <c r="K61">
        <v>4</v>
      </c>
      <c r="L61">
        <v>4</v>
      </c>
      <c r="M61">
        <v>29</v>
      </c>
      <c r="N61">
        <v>29</v>
      </c>
      <c r="O61" s="1">
        <v>3</v>
      </c>
      <c r="P61" s="1">
        <v>85</v>
      </c>
      <c r="Q61">
        <f t="shared" si="10"/>
        <v>44</v>
      </c>
    </row>
    <row r="62" spans="1:17">
      <c r="A62" s="2">
        <v>46023</v>
      </c>
      <c r="B62">
        <v>36</v>
      </c>
      <c r="C62">
        <v>32</v>
      </c>
      <c r="D62">
        <v>0</v>
      </c>
      <c r="E62">
        <f t="shared" si="9"/>
        <v>22.6666666666667</v>
      </c>
      <c r="F62">
        <v>41</v>
      </c>
      <c r="G62">
        <v>9</v>
      </c>
      <c r="H62">
        <v>16</v>
      </c>
      <c r="I62">
        <v>0</v>
      </c>
      <c r="J62">
        <f t="shared" si="7"/>
        <v>16.5</v>
      </c>
      <c r="K62">
        <v>4</v>
      </c>
      <c r="L62">
        <v>4</v>
      </c>
      <c r="M62">
        <v>0</v>
      </c>
      <c r="N62">
        <v>0</v>
      </c>
      <c r="O62" s="1">
        <v>3</v>
      </c>
      <c r="P62" s="1">
        <v>72</v>
      </c>
      <c r="Q62">
        <f t="shared" si="10"/>
        <v>37.5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time_series_US_20210101-0000_20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NAZIR ULLAH</cp:lastModifiedBy>
  <dcterms:created xsi:type="dcterms:W3CDTF">2026-02-24T08:53:00Z</dcterms:created>
  <dcterms:modified xsi:type="dcterms:W3CDTF">2026-02-28T14:23:13Z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1033-12.1.25201.25201</vt:lpwstr>
  </property>
  <property fmtid="{D5CDD505-2E9C-101B-9397-08002B2CF9AE}" pid="3" name="CalculationRule">
    <vt:i4>0</vt:i4>
  </property>
  <property fmtid="{D5CDD505-2E9C-101B-9397-08002B2CF9AE}" pid="4" name="ICV">
    <vt:lpwstr>EC8E9D4D45D26A96C7F599699A0BD0E9_43</vt:lpwstr>
  </property>
</Properties>
</file>